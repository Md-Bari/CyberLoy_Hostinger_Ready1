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tc={06e7b2a9-9016-4530-81c9-01a397eae1a2}</author>
  </authors>
  <commentList>
    <comment authorId="0" ref="N14">
      <text>
        <t xml:space="preserve">This is calculated automatically. No need to use it :)</t>
      </text>
    </comment>
    <comment authorId="0" ref="O14">
      <text>
        <t xml:space="preserve">Use this section for internal communication and also for tagging the Secfix team whenever its needed.</t>
      </text>
    </comment>
    <comment authorId="0" ref="B14">
      <text>
        <t xml:space="preserve">Number of the phase related to the task you're completing. </t>
      </text>
    </comment>
    <comment authorId="0" ref="F14">
      <text>
        <t xml:space="preserve">You may use the prefixes to easily identify the tasks you're currently working on.</t>
      </text>
    </comment>
    <comment authorId="0" ref="G14">
      <text>
        <t xml:space="preserve">These are the names of every project tasks you'll be tackling through your certification journey.</t>
      </text>
    </comment>
    <comment authorId="0" ref="J14">
      <text>
        <t xml:space="preserve">This should be used to get more context on the tasks at hand.</t>
      </text>
    </comment>
    <comment authorId="0" ref="F9">
      <text>
        <t xml:space="preserve">Double-click in this cell to access the calendar view.</t>
      </text>
    </comment>
    <comment authorId="0" ref="F8">
      <text>
        <t xml:space="preserve">Double-click in this cell to access the calendar view.</t>
      </text>
    </comment>
    <comment authorId="0" ref="M14">
      <text>
        <t xml:space="preserve">You should manually assign the progression in each of these tasks.</t>
      </text>
    </comment>
    <comment authorId="1" xr:uid="{06e7b2a9-9016-4530-81c9-01a397eae1a2}" ref="J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@fabiola@secfix.com @darina@secfix.com i can't write anything about it because i don't know what's going on there. maybe we'll just leave it out? or just "We look forward to seeing you" without any detailed blog!
Reply:
	@milla@secfix.com can you write 1-2 sentences about this here? Just a short description of what customers will expect in the kick-off session.
Background: this project plan is for "prospects" that are looking to start with Secfix. We will add it as a lead magnet on the website and hence are building something similar to the PSR but obviously with more "generic" content.
Reply:
	In the kickoff meeting, your CSM will share essential information about the ISO27001 process, explain the project plan and introduce you to the tools you will use. 
@jessica.ext@secfix.com @fabiola@secfix.com
</t>
      </text>
    </comment>
  </commentList>
</comments>
</file>

<file path=xl/sharedStrings.xml><?xml version="1.0" encoding="utf-8"?>
<sst xmlns="http://schemas.openxmlformats.org/spreadsheetml/2006/main" count="69" uniqueCount="69">
  <si>
    <t>Project Plan for ISO 27001</t>
  </si>
  <si>
    <t>Pro tip ➜ use this as your main source of guidance during the certification project. We recommend to update your progress every week</t>
  </si>
  <si>
    <t>STANDARD</t>
  </si>
  <si>
    <t>ISO 27001</t>
  </si>
  <si>
    <t>YOU'RE ON WEEK</t>
  </si>
  <si>
    <t>PROJECT OWNERS</t>
  </si>
  <si>
    <t>COMPANY NAME</t>
  </si>
  <si>
    <t>WEEKS UNTIL DEADLINE</t>
  </si>
  <si>
    <t>PROJECT START DATE</t>
  </si>
  <si>
    <t>EXPECTED DATE OF CERTIFICATION</t>
  </si>
  <si>
    <t>PROJECT PROGRESSION</t>
  </si>
  <si>
    <t xml:space="preserve">↓ Hover your mouse through the headers below to understand the meaning of each one of them ↓  </t>
  </si>
  <si>
    <t>Phase</t>
  </si>
  <si>
    <t>Prefix</t>
  </si>
  <si>
    <t>Tasks</t>
  </si>
  <si>
    <t>Details</t>
  </si>
  <si>
    <t>Progress (per task)</t>
  </si>
  <si>
    <t>Progress (phase)</t>
  </si>
  <si>
    <t>Comments</t>
  </si>
  <si>
    <t>Project setup kick-off</t>
  </si>
  <si>
    <t>Kick-off meeting with your team and Secfix</t>
  </si>
  <si>
    <t xml:space="preserve">In the kickoff meeting, your CSM will share essential information about the ISO27001 process, explain the project plan and introduce you to the tools you will use. </t>
  </si>
  <si>
    <t>Get auditor introduction</t>
  </si>
  <si>
    <r>
      <rPr>
        <rFont val="Roboto"/>
        <color rgb="FF000000"/>
        <sz val="9.0"/>
      </rPr>
      <t xml:space="preserve">Learn more about the role of the auditor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 xml:space="preserve">. </t>
    </r>
  </si>
  <si>
    <t>Schedule stage 1 and 2 audits and sign the certification quote</t>
  </si>
  <si>
    <r>
      <rPr>
        <rFont val="Roboto"/>
        <color rgb="FF000000"/>
        <sz val="9.0"/>
      </rPr>
      <t xml:space="preserve">Get an overwiev about the audit stages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 xml:space="preserve"> and how much an ISO 27001 certification costs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</si>
  <si>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Implementation phase</t>
  </si>
  <si>
    <t>Complete asset inventory</t>
  </si>
  <si>
    <r>
      <rPr>
        <rFont val="Roboto"/>
        <color rgb="FF000000"/>
        <sz val="9.0"/>
      </rPr>
      <t xml:space="preserve">Get more info about how to work on asset inventory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</si>
  <si>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Complete the security awareness training</t>
  </si>
  <si>
    <r>
      <rPr>
        <rFont val="Roboto"/>
        <color rgb="FF000000"/>
        <sz val="9.0"/>
      </rPr>
      <t xml:space="preserve">Learn more about security awareness training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</si>
  <si>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Complete device security monitoring</t>
  </si>
  <si>
    <r>
      <rPr>
        <rFont val="Roboto"/>
        <color rgb="FF000000"/>
        <sz val="9.0"/>
      </rPr>
      <t xml:space="preserve">You can use a monitoring device like an MDM or the Secfix agent to complete this task. Read more about it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</si>
  <si>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Read and write policies</t>
  </si>
  <si>
    <r>
      <rPr>
        <rFont val="Roboto"/>
        <color rgb="FF000000"/>
        <sz val="9.0"/>
      </rPr>
      <t xml:space="preserve">Learn more about how to work on policies </t>
    </r>
    <r>
      <rPr>
        <rFont val="Roboto"/>
        <color rgb="FF1155CC"/>
        <sz val="9.0"/>
        <u/>
      </rPr>
      <t>here</t>
    </r>
  </si>
  <si>
    <t>Employees to read/accept policies</t>
  </si>
  <si>
    <r>
      <rPr>
        <rFont val="Roboto"/>
        <color rgb="FF000000"/>
        <sz val="9.0"/>
      </rPr>
      <t xml:space="preserve">Learn more about how to read/accept policies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</si>
  <si>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Complete Risk Assessment</t>
  </si>
  <si>
    <r>
      <rPr>
        <rFont val="Roboto"/>
        <color rgb="FF000000"/>
        <sz val="9.0"/>
      </rPr>
      <t xml:space="preserve">Learn more about how to conduct a risk assessment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 xml:space="preserve">. </t>
    </r>
  </si>
  <si>
    <t>Complete Vendor Management</t>
  </si>
  <si>
    <r>
      <rPr>
        <rFont val="Roboto"/>
        <color rgb="FF000000"/>
        <sz val="9.0"/>
      </rPr>
      <t xml:space="preserve">Learn more about how to work on vendor management </t>
    </r>
    <r>
      <rPr>
        <rFont val="Roboto"/>
        <color rgb="FF1155CC"/>
        <sz val="9.0"/>
        <u/>
      </rPr>
      <t>here.</t>
    </r>
    <r>
      <rPr>
        <rFont val="Roboto"/>
        <color rgb="FF000000"/>
        <sz val="9.0"/>
      </rPr>
      <t xml:space="preserve"> </t>
    </r>
  </si>
  <si>
    <t>Complete Access Management</t>
  </si>
  <si>
    <r>
      <rPr>
        <rFont val="Roboto"/>
        <color rgb="FF000000"/>
        <sz val="9.0"/>
      </rPr>
      <t xml:space="preserve">Learn more about how to work on access management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 xml:space="preserve">. </t>
    </r>
  </si>
  <si>
    <t>Audit readiness phase</t>
  </si>
  <si>
    <t>Identify non-applicable controls in Statement of Applicability (SOA)</t>
  </si>
  <si>
    <r>
      <rPr>
        <rFont val="Roboto"/>
        <color rgb="FF000000"/>
        <sz val="9.0"/>
      </rPr>
      <t xml:space="preserve">Learn more about non-applicable controls in SOA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 xml:space="preserve">! </t>
    </r>
  </si>
  <si>
    <t>Write justifictions for exclusion on Statement of Applicability (SOA)</t>
  </si>
  <si>
    <r>
      <rPr>
        <rFont val="Roboto"/>
        <color rgb="FF000000"/>
        <sz val="9.0"/>
      </rPr>
      <t>Learn more about justifications for exclusion in SOA</t>
    </r>
    <r>
      <rPr>
        <rFont val="Roboto"/>
        <color rgb="FF1155CC"/>
        <sz val="9.0"/>
        <u/>
      </rPr>
      <t xml:space="preserve"> here</t>
    </r>
    <r>
      <rPr>
        <rFont val="Roboto"/>
        <color rgb="FF000000"/>
        <sz val="9.0"/>
      </rPr>
      <t xml:space="preserve">. </t>
    </r>
  </si>
  <si>
    <t>Complete Management review</t>
  </si>
  <si>
    <r>
      <rPr>
        <rFont val="Roboto"/>
        <color rgb="FF000000"/>
        <sz val="9.0"/>
      </rPr>
      <t xml:space="preserve">Learn more about how to work on a management review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</si>
  <si>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Conduct an internal audit</t>
  </si>
  <si>
    <r>
      <rPr>
        <rFont val="Roboto"/>
        <color rgb="FF000000"/>
        <sz val="9.0"/>
      </rPr>
      <t xml:space="preserve">Learn more about how to conduct internal audits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</si>
  <si>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Audit phase</t>
  </si>
  <si>
    <t>Complete stage 1 audit</t>
  </si>
  <si>
    <r>
      <rPr>
        <rFont val="Roboto"/>
        <color rgb="FF000000"/>
        <sz val="9.0"/>
      </rPr>
      <t xml:space="preserve">Read more about the stages of ISO 27001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</si>
  <si>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Remediate findings of stage 1 audit</t>
  </si>
  <si>
    <t>Complete stage 2 audit</t>
  </si>
  <si>
    <t>Remediate findings of stage 2 audit</t>
  </si>
  <si>
    <t>Obtain certification + audit report</t>
  </si>
  <si>
    <t>Maintenance phase</t>
  </si>
  <si>
    <t>Add audit findings to Corrective Action Plan</t>
  </si>
  <si>
    <r>
      <rPr>
        <rFont val="Roboto"/>
        <color rgb="FF000000"/>
        <sz val="9.0"/>
      </rPr>
      <t xml:space="preserve">Learn more about how to create a corrective action plan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</si>
  <si>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Assign tasks to audit findings</t>
  </si>
  <si>
    <r>
      <rPr>
        <rFont val="Roboto"/>
        <color rgb="FF000000"/>
        <sz val="9.0"/>
      </rPr>
      <t xml:space="preserve">Learn more about how to create and assign tasks for audit findings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</si>
  <si>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>Assign owners to finding tasks</t>
  </si>
  <si>
    <t>Assign deadlines to audit findings</t>
  </si>
  <si>
    <r>
      <rPr>
        <rFont val="Roboto"/>
        <color rgb="FF000000"/>
        <sz val="9.0"/>
      </rPr>
      <t xml:space="preserve">Learn more about how to assign deadlines to audit findings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</si>
  <si>
    <t xml:space="preserve">Have an internal meeting to discuss the execution of maintenance </t>
  </si>
  <si>
    <r>
      <rPr>
        <rFont val="Roboto"/>
        <color rgb="FF000000"/>
        <sz val="9.0"/>
      </rPr>
      <t xml:space="preserve">Learn more about how to conduct regular meetings to maintain your ISMS </t>
    </r>
    <r>
      <rPr>
        <rFont val="Roboto"/>
        <color rgb="FF1155CC"/>
        <sz val="9.0"/>
        <u/>
      </rPr>
      <t>here</t>
    </r>
    <r>
      <rPr>
        <rFont val="Roboto"/>
        <color rgb="FF000000"/>
        <sz val="9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</si>
</sst>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color rgb="FFF3F3F3"/>
      <name val="Arial"/>
      <scheme val="minor"/>
    </font>
    <font>
      <sz val="9.0"/>
      <color rgb="FFF3F3F3"/>
      <name val="Roboto"/>
    </font>
    <font>
      <color rgb="FFFFFFFF"/>
      <name val="Arial"/>
      <scheme val="minor"/>
    </font>
    <font>
      <b/>
      <sz val="30.0"/>
      <color rgb="FF351C75"/>
      <name val="Roboto"/>
    </font>
    <font/>
    <font>
      <b/>
      <sz val="12.0"/>
      <color rgb="FF351C75"/>
      <name val="Roboto"/>
    </font>
    <font>
      <b/>
      <sz val="12.0"/>
      <color rgb="FF0B5394"/>
      <name val="Roboto"/>
    </font>
    <font>
      <sz val="12.0"/>
      <color theme="1"/>
      <name val="Corbel"/>
    </font>
    <font>
      <b/>
      <color rgb="FF351C75"/>
      <name val="Roboto"/>
    </font>
    <font>
      <sz val="12.0"/>
      <color rgb="FF351C75"/>
      <name val="Corbel"/>
    </font>
    <font>
      <color rgb="FF351C75"/>
      <name val="Arial"/>
      <scheme val="minor"/>
    </font>
    <font>
      <b/>
      <sz val="12.0"/>
      <color rgb="FFFFFFFF"/>
      <name val="Roboto"/>
    </font>
    <font>
      <b/>
      <sz val="24.0"/>
      <color rgb="FFFFFFFF"/>
      <name val="Roboto"/>
    </font>
    <font>
      <sz val="9.0"/>
      <color theme="1"/>
      <name val="Roboto"/>
    </font>
    <font>
      <b/>
      <color rgb="FF666666"/>
      <name val="Roboto"/>
    </font>
    <font>
      <b/>
      <color rgb="FFFFFFFF"/>
      <name val="Arial"/>
      <scheme val="minor"/>
    </font>
    <font>
      <b/>
      <sz val="9.0"/>
      <color rgb="FFFFFFFF"/>
      <name val="Roboto"/>
    </font>
    <font>
      <sz val="9.0"/>
      <color theme="1"/>
      <name val="Corbel"/>
    </font>
    <font>
      <b/>
      <sz val="14.0"/>
      <color rgb="FFFFFFFF"/>
      <name val="Roboto"/>
    </font>
    <font>
      <sz val="9.0"/>
      <color rgb="FF000000"/>
      <name val="Roboto"/>
    </font>
    <font>
      <b/>
      <sz val="12.0"/>
      <color rgb="FF000000"/>
      <name val="Roboto"/>
    </font>
    <font>
      <u/>
      <sz val="9.0"/>
      <color rgb="FF000000"/>
      <name val="Roboto"/>
    </font>
    <font>
      <u/>
      <sz val="9.0"/>
      <color rgb="FF000000"/>
      <name val="Roboto"/>
    </font>
    <font>
      <u/>
      <sz val="9.0"/>
      <color rgb="FF000000"/>
      <name val="Roboto"/>
    </font>
    <font>
      <u/>
      <sz val="9.0"/>
      <color rgb="FF000000"/>
      <name val="Roboto"/>
    </font>
    <font>
      <u/>
      <sz val="9.0"/>
      <color rgb="FF000000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F8F8F8"/>
        <bgColor rgb="FFF8F8F8"/>
      </patternFill>
    </fill>
    <fill>
      <patternFill patternType="solid">
        <fgColor rgb="FF361C75"/>
        <bgColor rgb="FF361C75"/>
      </patternFill>
    </fill>
    <fill>
      <patternFill patternType="solid">
        <fgColor rgb="FFE69138"/>
        <bgColor rgb="FFE69138"/>
      </patternFill>
    </fill>
  </fills>
  <borders count="82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351C75"/>
      </bottom>
    </border>
    <border>
      <right style="thin">
        <color rgb="FFFFFFFF"/>
      </right>
      <top style="thin">
        <color rgb="FFFFFFFF"/>
      </top>
      <bottom style="thin">
        <color rgb="FF351C75"/>
      </bottom>
    </border>
    <border>
      <left style="thin">
        <color rgb="FFFFFFFF"/>
      </left>
      <top style="thin">
        <color rgb="FFFFFFFF"/>
      </top>
      <bottom style="thin">
        <color rgb="FF351C75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top style="thin">
        <color rgb="FFFFFFFF"/>
      </top>
      <bottom style="thin">
        <color rgb="FFD9D9D9"/>
      </bottom>
    </border>
    <border>
      <top style="thin">
        <color rgb="FFFFFFFF"/>
      </top>
      <bottom style="thin">
        <color rgb="FFD9D9D9"/>
      </bottom>
    </border>
    <border>
      <left style="thin">
        <color rgb="FF351C75"/>
      </left>
      <top style="thin">
        <color rgb="FF351C75"/>
      </top>
    </border>
    <border>
      <right style="thin">
        <color rgb="FF351C75"/>
      </right>
      <top style="thin">
        <color rgb="FF351C75"/>
      </top>
    </border>
    <border>
      <left style="thin">
        <color rgb="FF351C75"/>
      </left>
      <right style="thin">
        <color rgb="FF351C75"/>
      </right>
      <top style="thin">
        <color rgb="FF351C75"/>
      </top>
    </border>
    <border>
      <right style="thin">
        <color rgb="FFFFFFFF"/>
      </right>
      <bottom style="thin">
        <color rgb="FFD9D9D9"/>
      </bottom>
    </border>
    <border>
      <left style="thin">
        <color rgb="FFFFFFFF"/>
      </left>
      <right style="thin">
        <color rgb="FFFFFFFF"/>
      </right>
      <bottom style="thin">
        <color rgb="FFD9D9D9"/>
      </bottom>
    </border>
    <border>
      <left style="thin">
        <color rgb="FFFFFFFF"/>
      </left>
      <bottom style="thin">
        <color rgb="FFD9D9D9"/>
      </bottom>
    </border>
    <border>
      <bottom style="thin">
        <color rgb="FFD9D9D9"/>
      </bottom>
    </border>
    <border>
      <left style="thin">
        <color rgb="FF351C75"/>
      </left>
      <bottom style="thin">
        <color rgb="FF351C75"/>
      </bottom>
    </border>
    <border>
      <right style="thin">
        <color rgb="FF351C75"/>
      </right>
      <bottom style="thin">
        <color rgb="FF351C75"/>
      </bottom>
    </border>
    <border>
      <left style="thin">
        <color rgb="FF351C75"/>
      </left>
      <right style="thin">
        <color rgb="FF351C75"/>
      </right>
      <bottom style="thin">
        <color rgb="FF351C75"/>
      </bottom>
    </border>
    <border>
      <right style="thin">
        <color rgb="FFFFFFFF"/>
      </right>
      <bottom style="thin">
        <color rgb="FFFFFFFF"/>
      </bottom>
    </border>
    <border>
      <left style="thin">
        <color rgb="FF351C75"/>
      </left>
      <top style="thin">
        <color rgb="FF351C75"/>
      </top>
      <bottom style="thin">
        <color rgb="FF351C75"/>
      </bottom>
    </border>
    <border>
      <top style="thin">
        <color rgb="FF351C75"/>
      </top>
      <bottom style="thin">
        <color rgb="FF351C75"/>
      </bottom>
    </border>
    <border>
      <right style="thin">
        <color rgb="FF351C75"/>
      </right>
      <top style="thin">
        <color rgb="FF351C75"/>
      </top>
      <bottom style="thin">
        <color rgb="FF351C75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351C75"/>
      </top>
    </border>
    <border>
      <left style="thin">
        <color rgb="FF351C75"/>
      </left>
      <right style="thin">
        <color rgb="FF351C75"/>
      </right>
      <top style="thin">
        <color rgb="FF351C75"/>
      </top>
      <bottom style="thin">
        <color rgb="FF351C75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351C75"/>
      </left>
      <right style="thin">
        <color rgb="FF351C75"/>
      </right>
    </border>
    <border>
      <left style="thin">
        <color rgb="FF351C75"/>
      </left>
    </border>
    <border>
      <right style="thin">
        <color rgb="FF351C75"/>
      </right>
    </border>
    <border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</border>
    <border>
      <top style="thin">
        <color rgb="FFEFEFEF"/>
      </top>
    </border>
    <border>
      <left style="thin">
        <color rgb="FFEFEFEF"/>
      </left>
    </border>
    <border>
      <right style="thin">
        <color rgb="FFEFEFEF"/>
      </right>
    </border>
    <border>
      <left style="thin">
        <color rgb="FF351C75"/>
      </left>
      <bottom style="thin">
        <color rgb="FFD9D9D9"/>
      </bottom>
    </border>
    <border>
      <right style="thin">
        <color rgb="FF351C75"/>
      </right>
      <bottom style="thin">
        <color rgb="FFD9D9D9"/>
      </bottom>
    </border>
    <border>
      <right style="thin">
        <color rgb="FFEFEFEF"/>
      </right>
      <bottom style="thin">
        <color rgb="FFD9D9D9"/>
      </bottom>
    </border>
    <border>
      <left style="thin">
        <color rgb="FFEFEFEF"/>
      </left>
      <bottom style="thin">
        <color rgb="FFD9D9D9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D9D9D9"/>
      </bottom>
    </border>
    <border>
      <left style="thin">
        <color rgb="FF351C75"/>
      </left>
      <right style="thin">
        <color rgb="FF351C75"/>
      </right>
      <bottom style="thin">
        <color rgb="FFD9D9D9"/>
      </bottom>
    </border>
    <border>
      <left style="thin">
        <color rgb="FFEFEFEF"/>
      </left>
      <right style="thin">
        <color rgb="FF000000"/>
      </right>
      <bottom style="thin">
        <color rgb="FFD9D9D9"/>
      </bottom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bottom style="thin">
        <color rgb="FF351C75"/>
      </bottom>
    </border>
    <border>
      <left style="thin">
        <color rgb="FF351C75"/>
      </left>
      <right style="thin">
        <color rgb="FF8E7CC3"/>
      </right>
      <top style="thin">
        <color rgb="FF351C75"/>
      </top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351C75"/>
      </left>
      <right style="thin">
        <color rgb="FF8E7CC3"/>
      </right>
    </border>
    <border>
      <left style="thin">
        <color rgb="FF351C75"/>
      </left>
      <right style="thin">
        <color rgb="FF8E7CC3"/>
      </right>
      <bottom style="thin">
        <color rgb="FF351C75"/>
      </bottom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bottom style="thin">
        <color rgb="FFF3F3F3"/>
      </bottom>
    </border>
    <border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left style="thin">
        <color rgb="FF351C75"/>
      </left>
      <right style="thin">
        <color rgb="FF8E7CC3"/>
      </right>
      <bottom style="thin">
        <color rgb="FF000000"/>
      </bottom>
    </border>
    <border>
      <left style="thin">
        <color rgb="FF351C75"/>
      </left>
      <bottom style="thin">
        <color rgb="FF000000"/>
      </bottom>
    </border>
    <border>
      <bottom style="thin">
        <color rgb="FF000000"/>
      </bottom>
    </border>
    <border>
      <right style="thin">
        <color rgb="FF351C75"/>
      </right>
      <bottom style="thin">
        <color rgb="FF000000"/>
      </bottom>
    </border>
    <border>
      <right style="thin">
        <color rgb="FFF3F3F3"/>
      </right>
      <bottom style="thin">
        <color rgb="FF000000"/>
      </bottom>
    </border>
    <border>
      <left style="thin">
        <color rgb="FFF3F3F3"/>
      </left>
      <top style="thin">
        <color rgb="FFF3F3F3"/>
      </top>
      <bottom style="thin">
        <color rgb="FF000000"/>
      </bottom>
    </border>
    <border>
      <top style="thin">
        <color rgb="FFF3F3F3"/>
      </top>
      <bottom style="thin">
        <color rgb="FF000000"/>
      </bottom>
    </border>
    <border>
      <right style="thin">
        <color rgb="FFF3F3F3"/>
      </right>
      <top style="thin">
        <color rgb="FFF3F3F3"/>
      </top>
      <bottom style="thin">
        <color rgb="FF000000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351C75"/>
      </left>
      <right style="thin">
        <color rgb="FF351C75"/>
      </right>
      <bottom style="thin">
        <color rgb="FF000000"/>
      </bottom>
    </border>
    <border>
      <left style="thin">
        <color rgb="FFEFEFEF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2" fontId="3" numFmtId="0" xfId="0" applyAlignment="1" applyBorder="1" applyFont="1">
      <alignment horizontal="left" shrinkToFit="0" vertical="center" wrapText="1"/>
    </xf>
    <xf borderId="3" fillId="0" fontId="1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5" fillId="0" fontId="4" numFmtId="0" xfId="0" applyAlignment="1" applyBorder="1" applyFont="1">
      <alignment readingOrder="0"/>
    </xf>
    <xf borderId="6" fillId="3" fontId="5" numFmtId="0" xfId="0" applyAlignment="1" applyBorder="1" applyFill="1" applyFont="1">
      <alignment readingOrder="0"/>
    </xf>
    <xf borderId="6" fillId="0" fontId="6" numFmtId="0" xfId="0" applyBorder="1" applyFont="1"/>
    <xf borderId="7" fillId="0" fontId="6" numFmtId="0" xfId="0" applyBorder="1" applyFont="1"/>
    <xf borderId="7" fillId="3" fontId="5" numFmtId="0" xfId="0" applyAlignment="1" applyBorder="1" applyFont="1">
      <alignment readingOrder="0"/>
    </xf>
    <xf borderId="8" fillId="3" fontId="7" numFmtId="0" xfId="0" applyAlignment="1" applyBorder="1" applyFont="1">
      <alignment readingOrder="0" shrinkToFit="0" wrapText="1"/>
    </xf>
    <xf borderId="5" fillId="3" fontId="8" numFmtId="0" xfId="0" applyAlignment="1" applyBorder="1" applyFont="1">
      <alignment readingOrder="0" shrinkToFit="0" wrapText="1"/>
    </xf>
    <xf borderId="9" fillId="0" fontId="9" numFmtId="0" xfId="0" applyBorder="1" applyFont="1"/>
    <xf borderId="10" fillId="0" fontId="9" numFmtId="0" xfId="0" applyBorder="1" applyFont="1"/>
    <xf borderId="10" fillId="3" fontId="9" numFmtId="0" xfId="0" applyBorder="1" applyFont="1"/>
    <xf borderId="10" fillId="3" fontId="9" numFmtId="0" xfId="0" applyAlignment="1" applyBorder="1" applyFont="1">
      <alignment horizontal="center" vertical="center"/>
    </xf>
    <xf borderId="11" fillId="3" fontId="9" numFmtId="0" xfId="0" applyBorder="1" applyFont="1"/>
    <xf borderId="10" fillId="3" fontId="9" numFmtId="0" xfId="0" applyAlignment="1" applyBorder="1" applyFont="1">
      <alignment horizontal="center"/>
    </xf>
    <xf borderId="5" fillId="3" fontId="9" numFmtId="0" xfId="0" applyBorder="1" applyFont="1"/>
    <xf borderId="12" fillId="0" fontId="10" numFmtId="0" xfId="0" applyAlignment="1" applyBorder="1" applyFont="1">
      <alignment readingOrder="0" shrinkToFit="0" wrapText="0"/>
    </xf>
    <xf borderId="13" fillId="3" fontId="11" numFmtId="0" xfId="0" applyBorder="1" applyFont="1"/>
    <xf borderId="13" fillId="0" fontId="12" numFmtId="0" xfId="0" applyBorder="1" applyFont="1"/>
    <xf borderId="14" fillId="3" fontId="11" numFmtId="0" xfId="0" applyAlignment="1" applyBorder="1" applyFont="1">
      <alignment horizontal="center" readingOrder="0" shrinkToFit="0" wrapText="0"/>
    </xf>
    <xf borderId="15" fillId="0" fontId="6" numFmtId="0" xfId="0" applyBorder="1" applyFont="1"/>
    <xf borderId="12" fillId="0" fontId="6" numFmtId="0" xfId="0" applyBorder="1" applyFont="1"/>
    <xf borderId="4" fillId="3" fontId="9" numFmtId="0" xfId="0" applyBorder="1" applyFont="1"/>
    <xf borderId="16" fillId="4" fontId="13" numFmtId="0" xfId="0" applyAlignment="1" applyBorder="1" applyFill="1" applyFont="1">
      <alignment horizontal="center" readingOrder="0" shrinkToFit="0" vertical="center" wrapText="1"/>
    </xf>
    <xf borderId="17" fillId="0" fontId="6" numFmtId="0" xfId="0" applyBorder="1" applyFont="1"/>
    <xf borderId="18" fillId="4" fontId="14" numFmtId="0" xfId="0" applyAlignment="1" applyBorder="1" applyFont="1">
      <alignment horizontal="center" vertical="center"/>
    </xf>
    <xf borderId="3" fillId="3" fontId="9" numFmtId="0" xfId="0" applyBorder="1" applyFont="1"/>
    <xf borderId="19" fillId="0" fontId="10" numFmtId="0" xfId="0" applyAlignment="1" applyBorder="1" applyFont="1">
      <alignment readingOrder="0" shrinkToFit="0" wrapText="0"/>
    </xf>
    <xf borderId="20" fillId="0" fontId="11" numFmtId="0" xfId="0" applyBorder="1" applyFont="1"/>
    <xf borderId="20" fillId="0" fontId="12" numFmtId="0" xfId="0" applyBorder="1" applyFont="1"/>
    <xf borderId="21" fillId="0" fontId="11" numFmtId="0" xfId="0" applyAlignment="1" applyBorder="1" applyFont="1">
      <alignment horizontal="center" readingOrder="0" shrinkToFit="0" wrapText="0"/>
    </xf>
    <xf borderId="22" fillId="0" fontId="6" numFmtId="0" xfId="0" applyBorder="1" applyFont="1"/>
    <xf borderId="19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0" fontId="6" numFmtId="0" xfId="0" applyBorder="1" applyFont="1"/>
    <xf borderId="5" fillId="0" fontId="1" numFmtId="0" xfId="0" applyBorder="1" applyFont="1"/>
    <xf borderId="21" fillId="3" fontId="11" numFmtId="0" xfId="0" applyAlignment="1" applyBorder="1" applyFont="1">
      <alignment horizontal="center" readingOrder="0" shrinkToFit="0" wrapText="0"/>
    </xf>
    <xf borderId="18" fillId="4" fontId="14" numFmtId="1" xfId="0" applyAlignment="1" applyBorder="1" applyFont="1" applyNumberFormat="1">
      <alignment horizontal="center" vertical="center"/>
    </xf>
    <xf borderId="5" fillId="0" fontId="1" numFmtId="1" xfId="0" applyBorder="1" applyFont="1" applyNumberFormat="1"/>
    <xf borderId="21" fillId="0" fontId="11" numFmtId="164" xfId="0" applyAlignment="1" applyBorder="1" applyFont="1" applyNumberFormat="1">
      <alignment horizontal="center" readingOrder="0" shrinkToFit="0" wrapText="0"/>
    </xf>
    <xf borderId="3" fillId="0" fontId="15" numFmtId="0" xfId="0" applyAlignment="1" applyBorder="1" applyFont="1">
      <alignment horizontal="center" readingOrder="0" shrinkToFit="0" wrapText="1"/>
    </xf>
    <xf borderId="18" fillId="4" fontId="14" numFmtId="9" xfId="0" applyAlignment="1" applyBorder="1" applyFont="1" applyNumberFormat="1">
      <alignment horizontal="center" vertical="center"/>
    </xf>
    <xf borderId="26" fillId="0" fontId="16" numFmtId="0" xfId="0" applyAlignment="1" applyBorder="1" applyFont="1">
      <alignment readingOrder="0" shrinkToFit="0" wrapText="0"/>
    </xf>
    <xf borderId="11" fillId="0" fontId="1" numFmtId="0" xfId="0" applyBorder="1" applyFont="1"/>
    <xf borderId="11" fillId="0" fontId="9" numFmtId="0" xfId="0" applyAlignment="1" applyBorder="1" applyFont="1">
      <alignment horizontal="center" readingOrder="0" shrinkToFit="0" wrapText="0"/>
    </xf>
    <xf borderId="26" fillId="0" fontId="1" numFmtId="0" xfId="0" applyBorder="1" applyFont="1"/>
    <xf borderId="11" fillId="0" fontId="1" numFmtId="0" xfId="0" applyAlignment="1" applyBorder="1" applyFont="1">
      <alignment horizontal="center" vertical="center"/>
    </xf>
    <xf borderId="11" fillId="0" fontId="15" numFmtId="0" xfId="0" applyAlignment="1" applyBorder="1" applyFont="1">
      <alignment horizontal="center" readingOrder="0" shrinkToFit="0" wrapText="1"/>
    </xf>
    <xf borderId="4" fillId="0" fontId="15" numFmtId="0" xfId="0" applyAlignment="1" applyBorder="1" applyFont="1">
      <alignment horizontal="center" readingOrder="0" shrinkToFit="0" wrapText="1"/>
    </xf>
    <xf borderId="27" fillId="5" fontId="17" numFmtId="0" xfId="0" applyAlignment="1" applyBorder="1" applyFill="1" applyFont="1">
      <alignment horizontal="center" readingOrder="0"/>
    </xf>
    <xf borderId="28" fillId="0" fontId="6" numFmtId="0" xfId="0" applyBorder="1" applyFont="1"/>
    <xf borderId="29" fillId="0" fontId="6" numFmtId="0" xfId="0" applyBorder="1" applyFont="1"/>
    <xf borderId="30" fillId="2" fontId="1" numFmtId="0" xfId="0" applyBorder="1" applyFont="1"/>
    <xf borderId="18" fillId="6" fontId="18" numFmtId="0" xfId="0" applyAlignment="1" applyBorder="1" applyFill="1" applyFont="1">
      <alignment horizontal="center" readingOrder="0" shrinkToFit="0" vertical="center" wrapText="1"/>
    </xf>
    <xf borderId="16" fillId="6" fontId="19" numFmtId="0" xfId="0" applyAlignment="1" applyBorder="1" applyFont="1">
      <alignment vertical="center"/>
    </xf>
    <xf borderId="31" fillId="0" fontId="6" numFmtId="0" xfId="0" applyBorder="1" applyFont="1"/>
    <xf borderId="32" fillId="6" fontId="18" numFmtId="0" xfId="0" applyAlignment="1" applyBorder="1" applyFont="1">
      <alignment horizontal="center" readingOrder="0" shrinkToFit="0" vertical="center" wrapText="1"/>
    </xf>
    <xf borderId="27" fillId="6" fontId="18" numFmtId="0" xfId="0" applyAlignment="1" applyBorder="1" applyFont="1">
      <alignment horizontal="center" readingOrder="0" shrinkToFit="0" vertical="center" wrapText="1"/>
    </xf>
    <xf borderId="18" fillId="7" fontId="20" numFmtId="0" xfId="0" applyAlignment="1" applyBorder="1" applyFill="1" applyFont="1">
      <alignment horizontal="center" vertical="center"/>
    </xf>
    <xf borderId="16" fillId="7" fontId="20" numFmtId="0" xfId="0" applyAlignment="1" applyBorder="1" applyFont="1">
      <alignment horizontal="center" readingOrder="0" shrinkToFit="0" vertical="center" wrapText="1"/>
    </xf>
    <xf borderId="33" fillId="8" fontId="21" numFmtId="0" xfId="0" applyAlignment="1" applyBorder="1" applyFill="1" applyFont="1">
      <alignment horizontal="center" readingOrder="0" shrinkToFit="0" vertical="center" wrapText="1"/>
    </xf>
    <xf borderId="30" fillId="0" fontId="21" numFmtId="0" xfId="0" applyAlignment="1" applyBorder="1" applyFont="1">
      <alignment horizontal="left" readingOrder="0" shrinkToFit="0" vertical="center" wrapText="1"/>
    </xf>
    <xf borderId="34" fillId="0" fontId="6" numFmtId="0" xfId="0" applyBorder="1" applyFont="1"/>
    <xf borderId="33" fillId="0" fontId="6" numFmtId="0" xfId="0" applyBorder="1" applyFont="1"/>
    <xf borderId="30" fillId="8" fontId="21" numFmtId="0" xfId="0" applyAlignment="1" applyBorder="1" applyFont="1">
      <alignment readingOrder="0" shrinkToFit="0" vertical="center" wrapText="1"/>
    </xf>
    <xf borderId="35" fillId="8" fontId="22" numFmtId="9" xfId="0" applyAlignment="1" applyBorder="1" applyFont="1" applyNumberFormat="1">
      <alignment horizontal="center" readingOrder="0" shrinkToFit="0" vertical="center" wrapText="1"/>
    </xf>
    <xf borderId="18" fillId="7" fontId="14" numFmtId="9" xfId="0" applyAlignment="1" applyBorder="1" applyFont="1" applyNumberFormat="1">
      <alignment horizontal="center" vertical="center"/>
    </xf>
    <xf borderId="36" fillId="8" fontId="21" numFmtId="0" xfId="0" applyAlignment="1" applyBorder="1" applyFont="1">
      <alignment horizontal="left" readingOrder="0" shrinkToFit="0" vertical="center" wrapText="1"/>
    </xf>
    <xf borderId="37" fillId="0" fontId="6" numFmtId="0" xfId="0" applyBorder="1" applyFont="1"/>
    <xf borderId="38" fillId="0" fontId="6" numFmtId="0" xfId="0" applyBorder="1" applyFont="1"/>
    <xf borderId="39" fillId="0" fontId="6" numFmtId="0" xfId="0" applyBorder="1" applyFont="1"/>
    <xf borderId="40" fillId="8" fontId="21" numFmtId="0" xfId="0" applyAlignment="1" applyBorder="1" applyFont="1">
      <alignment horizontal="center" readingOrder="0" shrinkToFit="0" vertical="center" wrapText="1"/>
    </xf>
    <xf borderId="41" fillId="0" fontId="21" numFmtId="0" xfId="0" applyAlignment="1" applyBorder="1" applyFont="1">
      <alignment horizontal="left" readingOrder="0" shrinkToFit="0" vertical="center" wrapText="1"/>
    </xf>
    <xf borderId="42" fillId="0" fontId="6" numFmtId="0" xfId="0" applyBorder="1" applyFont="1"/>
    <xf borderId="40" fillId="0" fontId="6" numFmtId="0" xfId="0" applyBorder="1" applyFont="1"/>
    <xf borderId="41" fillId="8" fontId="23" numFmtId="0" xfId="0" applyAlignment="1" applyBorder="1" applyFont="1">
      <alignment readingOrder="0" shrinkToFit="0" vertical="center" wrapText="1"/>
    </xf>
    <xf borderId="1" fillId="8" fontId="22" numFmtId="9" xfId="0" applyAlignment="1" applyBorder="1" applyFont="1" applyNumberFormat="1">
      <alignment horizontal="center" readingOrder="0" shrinkToFit="0" vertical="center" wrapText="1"/>
    </xf>
    <xf borderId="43" fillId="0" fontId="21" numFmtId="0" xfId="0" applyAlignment="1" applyBorder="1" applyFont="1">
      <alignment horizontal="left" readingOrder="0" shrinkToFit="0" vertical="center" wrapText="1"/>
    </xf>
    <xf borderId="44" fillId="0" fontId="6" numFmtId="0" xfId="0" applyBorder="1" applyFont="1"/>
    <xf borderId="45" fillId="0" fontId="6" numFmtId="0" xfId="0" applyBorder="1" applyFont="1"/>
    <xf borderId="46" fillId="0" fontId="6" numFmtId="0" xfId="0" applyBorder="1" applyFont="1"/>
    <xf borderId="47" fillId="0" fontId="6" numFmtId="0" xfId="0" applyBorder="1" applyFont="1"/>
    <xf borderId="48" fillId="0" fontId="6" numFmtId="0" xfId="0" applyBorder="1" applyFont="1"/>
    <xf borderId="49" fillId="8" fontId="22" numFmtId="9" xfId="0" applyAlignment="1" applyBorder="1" applyFont="1" applyNumberFormat="1">
      <alignment horizontal="center" readingOrder="0" shrinkToFit="0" vertical="center" wrapText="1"/>
    </xf>
    <xf borderId="50" fillId="0" fontId="6" numFmtId="0" xfId="0" applyBorder="1" applyFont="1"/>
    <xf borderId="51" fillId="8" fontId="21" numFmtId="0" xfId="0" applyAlignment="1" applyBorder="1" applyFont="1">
      <alignment horizontal="left" shrinkToFit="0" vertical="center" wrapText="1"/>
    </xf>
    <xf borderId="18" fillId="6" fontId="20" numFmtId="0" xfId="0" applyAlignment="1" applyBorder="1" applyFont="1">
      <alignment horizontal="center" readingOrder="0" vertical="center"/>
    </xf>
    <xf borderId="38" fillId="6" fontId="20" numFmtId="0" xfId="0" applyAlignment="1" applyBorder="1" applyFont="1">
      <alignment horizontal="center" readingOrder="0" shrinkToFit="0" vertical="center" wrapText="1"/>
    </xf>
    <xf borderId="52" fillId="8" fontId="21" numFmtId="0" xfId="0" applyAlignment="1" applyBorder="1" applyFont="1">
      <alignment horizontal="center" readingOrder="0" shrinkToFit="0" vertical="center" wrapText="1"/>
    </xf>
    <xf borderId="53" fillId="0" fontId="21" numFmtId="0" xfId="0" applyAlignment="1" applyBorder="1" applyFont="1">
      <alignment horizontal="left" readingOrder="0" shrinkToFit="0" vertical="center" wrapText="1"/>
    </xf>
    <xf borderId="54" fillId="0" fontId="6" numFmtId="0" xfId="0" applyBorder="1" applyFont="1"/>
    <xf borderId="52" fillId="0" fontId="6" numFmtId="0" xfId="0" applyBorder="1" applyFont="1"/>
    <xf borderId="53" fillId="8" fontId="24" numFmtId="0" xfId="0" applyAlignment="1" applyBorder="1" applyFont="1">
      <alignment readingOrder="0" shrinkToFit="0" vertical="center" wrapText="1"/>
    </xf>
    <xf borderId="37" fillId="6" fontId="14" numFmtId="9" xfId="0" applyAlignment="1" applyBorder="1" applyFont="1" applyNumberFormat="1">
      <alignment horizontal="center" readingOrder="0" shrinkToFit="0" vertical="center" wrapText="1"/>
    </xf>
    <xf borderId="55" fillId="8" fontId="21" numFmtId="0" xfId="0" applyAlignment="1" applyBorder="1" applyFont="1">
      <alignment horizontal="left" shrinkToFit="0" vertical="center" wrapText="1"/>
    </xf>
    <xf borderId="30" fillId="8" fontId="25" numFmtId="0" xfId="0" applyAlignment="1" applyBorder="1" applyFont="1">
      <alignment readingOrder="0" shrinkToFit="0" vertical="center" wrapText="1"/>
    </xf>
    <xf borderId="36" fillId="8" fontId="21" numFmtId="0" xfId="0" applyAlignment="1" applyBorder="1" applyFont="1">
      <alignment horizontal="left" shrinkToFit="0" vertical="center" wrapText="1"/>
    </xf>
    <xf borderId="56" fillId="0" fontId="6" numFmtId="0" xfId="0" applyBorder="1" applyFont="1"/>
    <xf borderId="18" fillId="5" fontId="20" numFmtId="0" xfId="0" applyAlignment="1" applyBorder="1" applyFont="1">
      <alignment horizontal="center" readingOrder="0" vertical="center"/>
    </xf>
    <xf borderId="16" fillId="5" fontId="20" numFmtId="0" xfId="0" applyAlignment="1" applyBorder="1" applyFont="1">
      <alignment horizontal="center" readingOrder="0" shrinkToFit="0" vertical="center" wrapText="1"/>
    </xf>
    <xf borderId="18" fillId="5" fontId="14" numFmtId="9" xfId="0" applyAlignment="1" applyBorder="1" applyFont="1" applyNumberFormat="1">
      <alignment horizontal="center" readingOrder="0" shrinkToFit="0" vertical="center" wrapText="1"/>
    </xf>
    <xf borderId="57" fillId="4" fontId="20" numFmtId="0" xfId="0" applyAlignment="1" applyBorder="1" applyFont="1">
      <alignment horizontal="center" readingOrder="0" vertical="center"/>
    </xf>
    <xf borderId="31" fillId="9" fontId="20" numFmtId="0" xfId="0" applyAlignment="1" applyBorder="1" applyFill="1" applyFont="1">
      <alignment horizontal="center" readingOrder="0" shrinkToFit="0" vertical="center" wrapText="1"/>
    </xf>
    <xf borderId="18" fillId="9" fontId="14" numFmtId="9" xfId="0" applyAlignment="1" applyBorder="1" applyFont="1" applyNumberFormat="1">
      <alignment horizontal="center" readingOrder="0" shrinkToFit="0" vertical="center" wrapText="1"/>
    </xf>
    <xf borderId="58" fillId="8" fontId="21" numFmtId="0" xfId="0" applyAlignment="1" applyBorder="1" applyFont="1">
      <alignment horizontal="left" shrinkToFit="0" vertical="center" wrapText="1"/>
    </xf>
    <xf borderId="59" fillId="0" fontId="6" numFmtId="0" xfId="0" applyBorder="1" applyFont="1"/>
    <xf borderId="43" fillId="0" fontId="6" numFmtId="0" xfId="0" applyBorder="1" applyFont="1"/>
    <xf borderId="30" fillId="8" fontId="22" numFmtId="9" xfId="0" applyAlignment="1" applyBorder="1" applyFont="1" applyNumberFormat="1">
      <alignment horizontal="center" readingOrder="0" shrinkToFit="0" vertical="center" wrapText="1"/>
    </xf>
    <xf borderId="60" fillId="0" fontId="6" numFmtId="0" xfId="0" applyBorder="1" applyFont="1"/>
    <xf borderId="53" fillId="0" fontId="6" numFmtId="0" xfId="0" applyBorder="1" applyFont="1"/>
    <xf borderId="0" fillId="2" fontId="1" numFmtId="0" xfId="0" applyFont="1"/>
    <xf borderId="57" fillId="10" fontId="20" numFmtId="0" xfId="0" applyAlignment="1" applyBorder="1" applyFill="1" applyFont="1">
      <alignment horizontal="center" readingOrder="0" vertical="center"/>
    </xf>
    <xf borderId="16" fillId="10" fontId="20" numFmtId="0" xfId="0" applyAlignment="1" applyBorder="1" applyFont="1">
      <alignment horizontal="center" readingOrder="0" vertical="center"/>
    </xf>
    <xf borderId="61" fillId="0" fontId="21" numFmtId="0" xfId="0" applyAlignment="1" applyBorder="1" applyFont="1">
      <alignment horizontal="center" readingOrder="0" shrinkToFit="0" vertical="center" wrapText="1"/>
    </xf>
    <xf borderId="62" fillId="0" fontId="21" numFmtId="0" xfId="0" applyAlignment="1" applyBorder="1" applyFont="1">
      <alignment horizontal="left" readingOrder="0" shrinkToFit="0" vertical="center" wrapText="1"/>
    </xf>
    <xf borderId="63" fillId="0" fontId="6" numFmtId="0" xfId="0" applyBorder="1" applyFont="1"/>
    <xf borderId="61" fillId="0" fontId="6" numFmtId="0" xfId="0" applyBorder="1" applyFont="1"/>
    <xf borderId="18" fillId="10" fontId="14" numFmtId="9" xfId="0" applyAlignment="1" applyBorder="1" applyFont="1" applyNumberFormat="1">
      <alignment horizontal="center" readingOrder="0" shrinkToFit="0" vertical="center" wrapText="1"/>
    </xf>
    <xf borderId="64" fillId="2" fontId="1" numFmtId="0" xfId="0" applyBorder="1" applyFont="1"/>
    <xf borderId="65" fillId="0" fontId="21" numFmtId="0" xfId="0" applyAlignment="1" applyBorder="1" applyFont="1">
      <alignment horizontal="center" readingOrder="0" shrinkToFit="0" vertical="center" wrapText="1"/>
    </xf>
    <xf borderId="66" fillId="0" fontId="21" numFmtId="0" xfId="0" applyAlignment="1" applyBorder="1" applyFont="1">
      <alignment horizontal="left" readingOrder="0" shrinkToFit="0" vertical="center" wrapText="1"/>
    </xf>
    <xf borderId="67" fillId="0" fontId="6" numFmtId="0" xfId="0" applyBorder="1" applyFont="1"/>
    <xf borderId="65" fillId="0" fontId="6" numFmtId="0" xfId="0" applyBorder="1" applyFont="1"/>
    <xf borderId="41" fillId="2" fontId="26" numFmtId="0" xfId="0" applyAlignment="1" applyBorder="1" applyFont="1">
      <alignment readingOrder="0" shrinkToFit="0" vertical="center" wrapText="1"/>
    </xf>
    <xf borderId="66" fillId="0" fontId="22" numFmtId="9" xfId="0" applyAlignment="1" applyBorder="1" applyFont="1" applyNumberFormat="1">
      <alignment horizontal="center" readingOrder="0" shrinkToFit="0" vertical="center" wrapText="1"/>
    </xf>
    <xf borderId="68" fillId="0" fontId="6" numFmtId="0" xfId="0" applyBorder="1" applyFont="1"/>
    <xf borderId="69" fillId="0" fontId="6" numFmtId="0" xfId="0" applyBorder="1" applyFont="1"/>
    <xf borderId="70" fillId="0" fontId="6" numFmtId="0" xfId="0" applyBorder="1" applyFont="1"/>
    <xf borderId="71" fillId="0" fontId="6" numFmtId="0" xfId="0" applyBorder="1" applyFont="1"/>
    <xf borderId="72" fillId="0" fontId="21" numFmtId="0" xfId="0" applyAlignment="1" applyBorder="1" applyFont="1">
      <alignment horizontal="center" readingOrder="0" shrinkToFit="0" vertical="center" wrapText="1"/>
    </xf>
    <xf borderId="73" fillId="0" fontId="21" numFmtId="0" xfId="0" applyAlignment="1" applyBorder="1" applyFont="1">
      <alignment horizontal="left" readingOrder="0" shrinkToFit="0" vertical="center" wrapText="1"/>
    </xf>
    <xf borderId="74" fillId="0" fontId="6" numFmtId="0" xfId="0" applyBorder="1" applyFont="1"/>
    <xf borderId="75" fillId="0" fontId="6" numFmtId="0" xfId="0" applyBorder="1" applyFont="1"/>
    <xf borderId="76" fillId="8" fontId="27" numFmtId="0" xfId="0" applyAlignment="1" applyBorder="1" applyFont="1">
      <alignment readingOrder="0" shrinkToFit="0" vertical="center" wrapText="1"/>
    </xf>
    <xf borderId="77" fillId="0" fontId="6" numFmtId="0" xfId="0" applyBorder="1" applyFont="1"/>
    <xf borderId="78" fillId="0" fontId="6" numFmtId="0" xfId="0" applyBorder="1" applyFont="1"/>
    <xf borderId="79" fillId="8" fontId="22" numFmtId="9" xfId="0" applyAlignment="1" applyBorder="1" applyFont="1" applyNumberFormat="1">
      <alignment horizontal="center" readingOrder="0" shrinkToFit="0" vertical="center" wrapText="1"/>
    </xf>
    <xf borderId="80" fillId="0" fontId="6" numFmtId="0" xfId="0" applyBorder="1" applyFont="1"/>
    <xf borderId="81" fillId="8" fontId="2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200025</xdr:colOff>
      <xdr:row>5</xdr:row>
      <xdr:rowOff>142875</xdr:rowOff>
    </xdr:from>
    <xdr:ext cx="1628775" cy="409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Fabiola Munguia" id="{5026ced7-fed2-4656-acef-71a0835311e9}" providerId="google-sheets"/>
  <x18tc:person displayName="fabiola@secfix.com" id="{0718e675-baf2-4714-877a-a879fa3f2cb0}" userId="fabiola@secfix.com" providerId="google-sheets"/>
  <x18tc:person displayName="Deleted account" id="{c7507d68-a76c-41a7-ad1f-b817eb455fec}" providerId="google-sheets"/>
  <x18tc:person displayName="milla@secfix.com" id="{a193cf7d-a9d1-42bc-9f8b-871e69c98ca2}" userId="milla@secfix.com" providerId="google-sheets"/>
  <x18tc:person displayName="jessica.ext@secfix.com" id="{7ef85842-3767-4413-94f1-7d3c39df7f6b}" userId="jessica.ext@secfix.com" providerId="google-sheets"/>
  <x18tc:person displayName="Deleted account" id="{b908b21f-fb88-4174-ac18-0072d5608c14}" providerId="google-sheets"/>
  <x18tc:person displayName="darina@secfix.com" id="{34fc69ad-846b-4118-83a4-0ef030b8a497}" userId="darina@secfix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5" dT="2023-11-13T10:27:53.00" personId="{b908b21f-fb88-4174-ac18-0072d5608c14}" id="{06e7b2a9-9016-4530-81c9-01a397eae1a2}" done="1">
    <x18tc:text xml:space="preserve">@fabiola@secfix.com @darina@secfix.com i can't write anything about it because i don't know what's going on there. maybe we'll just leave it out? or just "We look forward to seeing you" without any detailed blog!</x18tc:text>
    <x18tc:mentions>
      <x18tc:mention mentionpersonId="{0718e675-baf2-4714-877a-a879fa3f2cb0}" mentionId="{3917819b-557d-471b-b0ed-e4f923652d69}" startIndex="0" length="19"/>
      <x18tc:mention mentionpersonId="{34fc69ad-846b-4118-83a4-0ef030b8a497}" mentionId="{cc3c9817-d965-4c92-8203-bc991a0db236}" startIndex="20" length="18"/>
    </x18tc:mentions>
  </x18tc:threadedComment>
  <x18tc:threadedComment ref="J15" dT="2023-11-13T11:38:09.00" personId="{5026ced7-fed2-4656-acef-71a0835311e9}" id="{597ac902-ce9f-4da6-9e06-8f2fe138d9b2}" parentId="{06e7b2a9-9016-4530-81c9-01a397eae1a2}">
    <x18tc:text xml:space="preserve">@milla@secfix.com can you write 1-2 sentences about this here? Just a short description of what customers will expect in the kick-off session.
Background: this project plan is for "prospects" that are looking to start with Secfix. We will add it as a lead magnet on the website and hence are building something similar to the PSR but obviously with more "generic" content.</x18tc:text>
    <x18tc:mentions>
      <x18tc:mention mentionpersonId="{a193cf7d-a9d1-42bc-9f8b-871e69c98ca2}" mentionId="{d73c27ac-3fa7-4505-b87f-2ed262452e0d}" startIndex="0" length="17"/>
    </x18tc:mentions>
  </x18tc:threadedComment>
  <x18tc:threadedComment ref="J15" dT="2023-11-13T16:22:32.00" personId="{c7507d68-a76c-41a7-ad1f-b817eb455fec}" id="{7a10308a-face-429c-b5a7-ff107453a5f8}" parentId="{06e7b2a9-9016-4530-81c9-01a397eae1a2}">
    <x18tc:text xml:space="preserve">In the kickoff meeting, your CSM will share essential information about the ISO27001 process, explain the project plan and introduce you to the tools you will use. 
@jessica.ext@secfix.com @fabiola@secfix.com</x18tc:text>
    <x18tc:mentions>
      <x18tc:mention mentionpersonId="{7ef85842-3767-4413-94f1-7d3c39df7f6b}" mentionId="{34d0c80d-10cd-4c5d-ac39-4f1d44ddb988}" startIndex="165" length="23"/>
      <x18tc:mention mentionpersonId="{0718e675-baf2-4714-877a-a879fa3f2cb0}" mentionId="{570640d9-004e-4671-8087-77916c9c848c}" startIndex="189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ecfix.com/post/efficient-task-assignment-and-ownership-in-iso-27001-audit-findings" TargetMode="External"/><Relationship Id="rId11" Type="http://schemas.openxmlformats.org/officeDocument/2006/relationships/hyperlink" Target="https://www.secfix.com/post/what-is-information-security-risk-management-iso-27005-under-iso-27001" TargetMode="External"/><Relationship Id="rId22" Type="http://schemas.openxmlformats.org/officeDocument/2006/relationships/hyperlink" Target="https://www.secfix.com/post/unveiling-the-dynamics-of-internal-meetings-for-maintenance-execution" TargetMode="External"/><Relationship Id="rId10" Type="http://schemas.openxmlformats.org/officeDocument/2006/relationships/hyperlink" Target="https://www.secfix.com/post/engaging-your-team-how-to-get-employees-to-read-and-accept-policies" TargetMode="External"/><Relationship Id="rId21" Type="http://schemas.openxmlformats.org/officeDocument/2006/relationships/hyperlink" Target="https://www.secfix.com/post/strategies-for-assigning-deadlines-to-iso-27001-audit-findings" TargetMode="External"/><Relationship Id="rId13" Type="http://schemas.openxmlformats.org/officeDocument/2006/relationships/hyperlink" Target="https://www.secfix.com/post/the-role-of-access-management-in-iso-27001" TargetMode="External"/><Relationship Id="rId24" Type="http://schemas.openxmlformats.org/officeDocument/2006/relationships/vmlDrawing" Target="../drawings/vmlDrawing1.vml"/><Relationship Id="rId12" Type="http://schemas.openxmlformats.org/officeDocument/2006/relationships/hyperlink" Target="https://www.secfix.com/post/vendor-management-in-iso-27001" TargetMode="External"/><Relationship Id="rId23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secfix.com/post/the-role-of-an-auditor-in-iso-27001-certification" TargetMode="External"/><Relationship Id="rId9" Type="http://schemas.openxmlformats.org/officeDocument/2006/relationships/hyperlink" Target="https://www.secfix.com/post/how-to-read-and-write-iso-27001-policies" TargetMode="External"/><Relationship Id="rId15" Type="http://schemas.openxmlformats.org/officeDocument/2006/relationships/hyperlink" Target="https://www.secfix.com/post/how-to-formulate-convincing-exclusion-arguments-in-the-statement-of-applicability-soa" TargetMode="External"/><Relationship Id="rId14" Type="http://schemas.openxmlformats.org/officeDocument/2006/relationships/hyperlink" Target="https://www.secfix.com/post/identify-non-applicable-controls-in-statement-of-applicability-soa" TargetMode="External"/><Relationship Id="rId17" Type="http://schemas.openxmlformats.org/officeDocument/2006/relationships/hyperlink" Target="https://www.secfix.com/post/conducting-an-internal-audit-in-iso-27001" TargetMode="External"/><Relationship Id="rId16" Type="http://schemas.openxmlformats.org/officeDocument/2006/relationships/hyperlink" Target="https://www.secfix.com/post/the-significance-of-management-review-in-iso-27001" TargetMode="External"/><Relationship Id="rId5" Type="http://schemas.openxmlformats.org/officeDocument/2006/relationships/hyperlink" Target="https://www.secfix.com/post/navigating-the-path-to-iso-27001-certification-scheduling-stage-1-and-2-audits" TargetMode="External"/><Relationship Id="rId19" Type="http://schemas.openxmlformats.org/officeDocument/2006/relationships/hyperlink" Target="https://www.secfix.com/post/integration-of-audit-findings-into-the-corrective-action-plan" TargetMode="External"/><Relationship Id="rId6" Type="http://schemas.openxmlformats.org/officeDocument/2006/relationships/hyperlink" Target="https://www.secfix.com/post/asset-inventory-for-iso-27001-compliance" TargetMode="External"/><Relationship Id="rId18" Type="http://schemas.openxmlformats.org/officeDocument/2006/relationships/hyperlink" Target="https://www.secfix.com/post/navigating-the-path-to-iso-27001-certification-scheduling-stage-1-and-2-audits" TargetMode="External"/><Relationship Id="rId7" Type="http://schemas.openxmlformats.org/officeDocument/2006/relationships/hyperlink" Target="https://www.secfix.com/post/how-to-train-employees-to-better-understand-infosec-risks" TargetMode="External"/><Relationship Id="rId8" Type="http://schemas.openxmlformats.org/officeDocument/2006/relationships/hyperlink" Target="https://www.secfix.com/post/secfix-agent-monitor-compliance-in-your-employee-devi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5.38"/>
    <col customWidth="1" min="3" max="3" width="11.13"/>
    <col customWidth="1" min="4" max="4" width="8.0"/>
    <col customWidth="1" min="5" max="5" width="8.38"/>
    <col customWidth="1" min="6" max="6" width="6.75"/>
    <col customWidth="1" min="7" max="7" width="11.0"/>
    <col customWidth="1" min="8" max="8" width="9.88"/>
    <col customWidth="1" min="9" max="9" width="12.75"/>
    <col customWidth="1" min="10" max="10" width="14.75"/>
    <col customWidth="1" min="11" max="11" width="15.75"/>
    <col customWidth="1" min="12" max="12" width="16.38"/>
    <col customWidth="1" min="13" max="13" width="11.63"/>
    <col customWidth="1" min="14" max="14" width="10.5"/>
    <col customWidth="1" min="15" max="15" width="27.63"/>
    <col customWidth="1" min="16" max="16" width="5.5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tr">
        <f>DATEDIF(TODAY(),F9,"D")</f>
        <v>#NUM!</v>
      </c>
      <c r="P1" s="3"/>
    </row>
    <row r="2">
      <c r="A2" s="1"/>
      <c r="B2" s="4"/>
      <c r="C2" s="5"/>
      <c r="D2" s="5"/>
      <c r="E2" s="5"/>
      <c r="F2" s="6"/>
      <c r="G2" s="5"/>
      <c r="H2" s="5"/>
      <c r="I2" s="5"/>
      <c r="J2" s="5"/>
      <c r="K2" s="5"/>
      <c r="L2" s="5"/>
      <c r="M2" s="7"/>
      <c r="N2" s="5"/>
      <c r="O2" s="8">
        <v>2.5</v>
      </c>
      <c r="P2" s="3"/>
    </row>
    <row r="3">
      <c r="A3" s="1"/>
      <c r="B3" s="9" t="s">
        <v>0</v>
      </c>
      <c r="C3" s="10"/>
      <c r="D3" s="10"/>
      <c r="E3" s="10"/>
      <c r="F3" s="10"/>
      <c r="G3" s="10"/>
      <c r="H3" s="11"/>
      <c r="I3" s="12"/>
      <c r="J3" s="13" t="s">
        <v>1</v>
      </c>
      <c r="K3" s="10"/>
      <c r="L3" s="10"/>
      <c r="M3" s="10"/>
      <c r="N3" s="11"/>
      <c r="O3" s="14"/>
      <c r="P3" s="3"/>
    </row>
    <row r="4">
      <c r="A4" s="1"/>
      <c r="B4" s="15"/>
      <c r="C4" s="16"/>
      <c r="D4" s="17"/>
      <c r="E4" s="17"/>
      <c r="F4" s="18"/>
      <c r="G4" s="19"/>
      <c r="H4" s="19"/>
      <c r="I4" s="19"/>
      <c r="J4" s="19"/>
      <c r="K4" s="17"/>
      <c r="L4" s="17"/>
      <c r="M4" s="20"/>
      <c r="N4" s="19"/>
      <c r="O4" s="21"/>
      <c r="P4" s="3"/>
    </row>
    <row r="5">
      <c r="A5" s="1"/>
      <c r="B5" s="22" t="s">
        <v>2</v>
      </c>
      <c r="C5" s="23"/>
      <c r="D5" s="24"/>
      <c r="E5" s="23"/>
      <c r="F5" s="25" t="s">
        <v>3</v>
      </c>
      <c r="G5" s="26"/>
      <c r="H5" s="27"/>
      <c r="I5" s="28"/>
      <c r="J5" s="28"/>
      <c r="K5" s="29" t="s">
        <v>4</v>
      </c>
      <c r="L5" s="30"/>
      <c r="M5" s="31">
        <f>IF(F8="","",INT(DATEDIF(F8,TODAY(),"D")/7) + 1)
</f>
        <v>117</v>
      </c>
      <c r="N5" s="32"/>
      <c r="O5" s="21"/>
      <c r="P5" s="3"/>
    </row>
    <row r="6">
      <c r="A6" s="1"/>
      <c r="B6" s="33" t="s">
        <v>5</v>
      </c>
      <c r="C6" s="34"/>
      <c r="D6" s="35"/>
      <c r="E6" s="34"/>
      <c r="F6" s="36"/>
      <c r="G6" s="37"/>
      <c r="H6" s="38"/>
      <c r="I6" s="5"/>
      <c r="J6" s="5"/>
      <c r="K6" s="39"/>
      <c r="L6" s="40"/>
      <c r="M6" s="41"/>
      <c r="N6" s="4"/>
      <c r="O6" s="42"/>
      <c r="P6" s="3"/>
    </row>
    <row r="7">
      <c r="A7" s="1"/>
      <c r="B7" s="33" t="s">
        <v>6</v>
      </c>
      <c r="C7" s="35"/>
      <c r="D7" s="35"/>
      <c r="E7" s="35"/>
      <c r="F7" s="43"/>
      <c r="G7" s="37"/>
      <c r="H7" s="38"/>
      <c r="I7" s="5"/>
      <c r="J7" s="5"/>
      <c r="K7" s="29" t="s">
        <v>7</v>
      </c>
      <c r="L7" s="30"/>
      <c r="M7" s="44" t="str">
        <f>IF(ISNUMBER(O1), O1*0.142857,"")
</f>
        <v/>
      </c>
      <c r="N7" s="4"/>
      <c r="O7" s="45"/>
      <c r="P7" s="3"/>
    </row>
    <row r="8">
      <c r="A8" s="1"/>
      <c r="B8" s="33" t="s">
        <v>8</v>
      </c>
      <c r="C8" s="35"/>
      <c r="D8" s="35"/>
      <c r="E8" s="35"/>
      <c r="F8" s="46">
        <v>45435.0</v>
      </c>
      <c r="G8" s="37"/>
      <c r="H8" s="38"/>
      <c r="I8" s="5"/>
      <c r="J8" s="5"/>
      <c r="K8" s="39"/>
      <c r="L8" s="40"/>
      <c r="M8" s="41"/>
      <c r="N8" s="47"/>
      <c r="O8" s="42"/>
      <c r="P8" s="3"/>
    </row>
    <row r="9">
      <c r="A9" s="1"/>
      <c r="B9" s="33" t="s">
        <v>9</v>
      </c>
      <c r="C9" s="35"/>
      <c r="D9" s="35"/>
      <c r="E9" s="35"/>
      <c r="F9" s="46">
        <v>45504.0</v>
      </c>
      <c r="G9" s="37"/>
      <c r="H9" s="38"/>
      <c r="I9" s="5"/>
      <c r="J9" s="5"/>
      <c r="K9" s="29" t="s">
        <v>10</v>
      </c>
      <c r="L9" s="30"/>
      <c r="M9" s="48">
        <f>AVERAGEA(N15:N35)</f>
        <v>0</v>
      </c>
      <c r="N9" s="47"/>
      <c r="O9" s="42"/>
      <c r="P9" s="3"/>
    </row>
    <row r="10">
      <c r="A10" s="1"/>
      <c r="B10" s="49"/>
      <c r="C10" s="50"/>
      <c r="D10" s="50"/>
      <c r="E10" s="50"/>
      <c r="F10" s="50"/>
      <c r="G10" s="51"/>
      <c r="H10" s="50"/>
      <c r="I10" s="50"/>
      <c r="J10" s="5"/>
      <c r="K10" s="39"/>
      <c r="L10" s="40"/>
      <c r="M10" s="41"/>
      <c r="N10" s="47"/>
      <c r="O10" s="42"/>
      <c r="P10" s="3"/>
    </row>
    <row r="11">
      <c r="A11" s="1"/>
      <c r="B11" s="49"/>
      <c r="C11" s="50"/>
      <c r="D11" s="50"/>
      <c r="E11" s="50"/>
      <c r="F11" s="50"/>
      <c r="G11" s="51"/>
      <c r="H11" s="50"/>
      <c r="I11" s="50"/>
      <c r="J11" s="5"/>
      <c r="K11" s="50"/>
      <c r="L11" s="50"/>
      <c r="M11" s="50"/>
      <c r="N11" s="47"/>
      <c r="O11" s="42"/>
      <c r="P11" s="3"/>
    </row>
    <row r="12">
      <c r="A12" s="1"/>
      <c r="B12" s="52"/>
      <c r="C12" s="50"/>
      <c r="D12" s="50"/>
      <c r="E12" s="50"/>
      <c r="F12" s="53"/>
      <c r="G12" s="50"/>
      <c r="H12" s="50"/>
      <c r="I12" s="50"/>
      <c r="J12" s="5"/>
      <c r="K12" s="50"/>
      <c r="L12" s="50"/>
      <c r="M12" s="54"/>
      <c r="N12" s="55"/>
      <c r="O12" s="42"/>
      <c r="P12" s="3"/>
    </row>
    <row r="13">
      <c r="A13" s="1"/>
      <c r="B13" s="56" t="s">
        <v>11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8"/>
      <c r="P13" s="3"/>
    </row>
    <row r="14">
      <c r="A14" s="59"/>
      <c r="B14" s="60" t="s">
        <v>12</v>
      </c>
      <c r="C14" s="61"/>
      <c r="D14" s="62"/>
      <c r="E14" s="30"/>
      <c r="F14" s="63" t="s">
        <v>13</v>
      </c>
      <c r="G14" s="64" t="s">
        <v>14</v>
      </c>
      <c r="H14" s="57"/>
      <c r="I14" s="58"/>
      <c r="J14" s="64" t="s">
        <v>15</v>
      </c>
      <c r="K14" s="57"/>
      <c r="L14" s="58"/>
      <c r="M14" s="63" t="s">
        <v>16</v>
      </c>
      <c r="N14" s="63" t="s">
        <v>17</v>
      </c>
      <c r="O14" s="63" t="s">
        <v>18</v>
      </c>
      <c r="P14" s="3"/>
    </row>
    <row r="15" ht="39.75" customHeight="1">
      <c r="A15" s="59"/>
      <c r="B15" s="65">
        <v>1.0</v>
      </c>
      <c r="C15" s="66" t="s">
        <v>19</v>
      </c>
      <c r="D15" s="62"/>
      <c r="E15" s="30"/>
      <c r="F15" s="67">
        <v>1.1</v>
      </c>
      <c r="G15" s="68" t="s">
        <v>20</v>
      </c>
      <c r="H15" s="69"/>
      <c r="I15" s="70"/>
      <c r="J15" s="71" t="s">
        <v>21</v>
      </c>
      <c r="K15" s="69"/>
      <c r="L15" s="70"/>
      <c r="M15" s="72">
        <v>0.0</v>
      </c>
      <c r="N15" s="73">
        <f>AVERAGEA(M15:M18)</f>
        <v>0</v>
      </c>
      <c r="O15" s="74"/>
      <c r="P15" s="3"/>
    </row>
    <row r="16" ht="21.75" customHeight="1">
      <c r="A16" s="59"/>
      <c r="B16" s="75"/>
      <c r="C16" s="76"/>
      <c r="E16" s="77"/>
      <c r="F16" s="78">
        <v>1.2</v>
      </c>
      <c r="G16" s="79" t="s">
        <v>22</v>
      </c>
      <c r="H16" s="80"/>
      <c r="I16" s="81"/>
      <c r="J16" s="82" t="s">
        <v>23</v>
      </c>
      <c r="K16" s="80"/>
      <c r="L16" s="81"/>
      <c r="M16" s="83">
        <v>0.0</v>
      </c>
      <c r="N16" s="75"/>
      <c r="O16" s="74"/>
      <c r="P16" s="3"/>
    </row>
    <row r="17" ht="21.75" customHeight="1">
      <c r="A17" s="59"/>
      <c r="B17" s="75"/>
      <c r="C17" s="76"/>
      <c r="E17" s="77"/>
      <c r="F17" s="78">
        <v>1.3</v>
      </c>
      <c r="G17" s="84" t="s">
        <v>24</v>
      </c>
      <c r="I17" s="85"/>
      <c r="J17" s="82" t="s">
        <v>25</v>
      </c>
      <c r="K17" s="80"/>
      <c r="L17" s="81"/>
      <c r="M17" s="72">
        <v>0.0</v>
      </c>
      <c r="N17" s="75"/>
      <c r="O17" s="74"/>
      <c r="P17" s="3"/>
    </row>
    <row r="18" ht="21.75" customHeight="1">
      <c r="A18" s="59"/>
      <c r="B18" s="41"/>
      <c r="C18" s="86"/>
      <c r="D18" s="37"/>
      <c r="E18" s="87"/>
      <c r="F18" s="88"/>
      <c r="G18" s="89"/>
      <c r="H18" s="37"/>
      <c r="I18" s="88"/>
      <c r="J18" s="89"/>
      <c r="K18" s="37"/>
      <c r="L18" s="88"/>
      <c r="M18" s="90">
        <v>0.0</v>
      </c>
      <c r="N18" s="91"/>
      <c r="O18" s="92"/>
      <c r="P18" s="3"/>
    </row>
    <row r="19" ht="21.75" customHeight="1">
      <c r="A19" s="59"/>
      <c r="B19" s="93">
        <v>2.0</v>
      </c>
      <c r="C19" s="94" t="s">
        <v>26</v>
      </c>
      <c r="E19" s="77"/>
      <c r="F19" s="95">
        <v>2.1</v>
      </c>
      <c r="G19" s="96" t="s">
        <v>27</v>
      </c>
      <c r="H19" s="97"/>
      <c r="I19" s="98"/>
      <c r="J19" s="99" t="s">
        <v>28</v>
      </c>
      <c r="K19" s="97"/>
      <c r="L19" s="98"/>
      <c r="M19" s="72">
        <v>0.0</v>
      </c>
      <c r="N19" s="100">
        <f>AVERAGEA(M19:M26)</f>
        <v>0</v>
      </c>
      <c r="O19" s="101"/>
      <c r="P19" s="3"/>
    </row>
    <row r="20" ht="21.75" customHeight="1">
      <c r="A20" s="59"/>
      <c r="B20" s="75"/>
      <c r="C20" s="76"/>
      <c r="E20" s="77"/>
      <c r="F20" s="67">
        <v>2.2</v>
      </c>
      <c r="G20" s="68" t="s">
        <v>29</v>
      </c>
      <c r="H20" s="69"/>
      <c r="I20" s="70"/>
      <c r="J20" s="102" t="s">
        <v>30</v>
      </c>
      <c r="K20" s="69"/>
      <c r="L20" s="70"/>
      <c r="M20" s="83">
        <v>0.0</v>
      </c>
      <c r="N20" s="75"/>
      <c r="O20" s="103"/>
      <c r="P20" s="3"/>
    </row>
    <row r="21" ht="21.75" customHeight="1">
      <c r="A21" s="59"/>
      <c r="B21" s="75"/>
      <c r="C21" s="76"/>
      <c r="E21" s="77"/>
      <c r="F21" s="95">
        <v>2.3</v>
      </c>
      <c r="G21" s="68" t="s">
        <v>31</v>
      </c>
      <c r="H21" s="69"/>
      <c r="I21" s="70"/>
      <c r="J21" s="102" t="s">
        <v>32</v>
      </c>
      <c r="K21" s="69"/>
      <c r="L21" s="70"/>
      <c r="M21" s="83">
        <v>0.0</v>
      </c>
      <c r="N21" s="75"/>
      <c r="O21" s="103"/>
      <c r="P21" s="3"/>
    </row>
    <row r="22" ht="21.75" customHeight="1">
      <c r="A22" s="59"/>
      <c r="B22" s="75"/>
      <c r="C22" s="76"/>
      <c r="E22" s="77"/>
      <c r="F22" s="67">
        <v>2.4</v>
      </c>
      <c r="G22" s="79" t="s">
        <v>33</v>
      </c>
      <c r="H22" s="80"/>
      <c r="I22" s="80"/>
      <c r="J22" s="102" t="s">
        <v>34</v>
      </c>
      <c r="K22" s="69"/>
      <c r="L22" s="70"/>
      <c r="M22" s="83">
        <v>0.0</v>
      </c>
      <c r="N22" s="75"/>
      <c r="O22" s="103"/>
      <c r="P22" s="3"/>
    </row>
    <row r="23" ht="21.75" customHeight="1">
      <c r="A23" s="59"/>
      <c r="B23" s="75"/>
      <c r="C23" s="76"/>
      <c r="E23" s="77"/>
      <c r="F23" s="95">
        <v>2.5</v>
      </c>
      <c r="G23" s="68" t="s">
        <v>35</v>
      </c>
      <c r="H23" s="69"/>
      <c r="I23" s="70"/>
      <c r="J23" s="102" t="s">
        <v>36</v>
      </c>
      <c r="K23" s="69"/>
      <c r="L23" s="70"/>
      <c r="M23" s="83">
        <v>0.0</v>
      </c>
      <c r="N23" s="75"/>
      <c r="O23" s="103"/>
      <c r="P23" s="3"/>
    </row>
    <row r="24" ht="21.75" customHeight="1">
      <c r="A24" s="59"/>
      <c r="B24" s="75"/>
      <c r="C24" s="76"/>
      <c r="E24" s="77"/>
      <c r="F24" s="67">
        <v>2.6</v>
      </c>
      <c r="G24" s="68" t="s">
        <v>37</v>
      </c>
      <c r="H24" s="69"/>
      <c r="I24" s="70"/>
      <c r="J24" s="102" t="s">
        <v>38</v>
      </c>
      <c r="K24" s="69"/>
      <c r="L24" s="70"/>
      <c r="M24" s="83">
        <v>0.0</v>
      </c>
      <c r="N24" s="75"/>
      <c r="O24" s="103"/>
      <c r="P24" s="3"/>
    </row>
    <row r="25" ht="21.75" customHeight="1">
      <c r="A25" s="59"/>
      <c r="B25" s="75"/>
      <c r="C25" s="76"/>
      <c r="E25" s="77"/>
      <c r="F25" s="95">
        <v>2.7</v>
      </c>
      <c r="G25" s="79" t="s">
        <v>39</v>
      </c>
      <c r="H25" s="80"/>
      <c r="I25" s="81"/>
      <c r="J25" s="82" t="s">
        <v>40</v>
      </c>
      <c r="K25" s="80"/>
      <c r="L25" s="81"/>
      <c r="M25" s="83">
        <v>0.0</v>
      </c>
      <c r="N25" s="75"/>
      <c r="O25" s="103"/>
      <c r="P25" s="3"/>
    </row>
    <row r="26" ht="21.75" customHeight="1">
      <c r="A26" s="59"/>
      <c r="B26" s="41"/>
      <c r="C26" s="39"/>
      <c r="D26" s="104"/>
      <c r="E26" s="40"/>
      <c r="F26" s="67">
        <v>2.8</v>
      </c>
      <c r="G26" s="68" t="s">
        <v>41</v>
      </c>
      <c r="H26" s="69"/>
      <c r="I26" s="70"/>
      <c r="J26" s="102" t="s">
        <v>42</v>
      </c>
      <c r="K26" s="69"/>
      <c r="L26" s="70"/>
      <c r="M26" s="83">
        <v>0.0</v>
      </c>
      <c r="N26" s="41"/>
      <c r="O26" s="103"/>
      <c r="P26" s="3"/>
    </row>
    <row r="27" ht="39.0" customHeight="1">
      <c r="A27" s="59"/>
      <c r="B27" s="105">
        <v>3.0</v>
      </c>
      <c r="C27" s="106" t="s">
        <v>43</v>
      </c>
      <c r="D27" s="62"/>
      <c r="E27" s="30"/>
      <c r="F27" s="95">
        <v>3.1</v>
      </c>
      <c r="G27" s="96" t="s">
        <v>44</v>
      </c>
      <c r="H27" s="97"/>
      <c r="I27" s="98"/>
      <c r="J27" s="99" t="s">
        <v>45</v>
      </c>
      <c r="K27" s="97"/>
      <c r="L27" s="98"/>
      <c r="M27" s="72">
        <v>0.0</v>
      </c>
      <c r="N27" s="107">
        <f>AVERAGEA(M27:M30)</f>
        <v>0</v>
      </c>
      <c r="O27" s="101"/>
      <c r="P27" s="3"/>
    </row>
    <row r="28" ht="35.25" customHeight="1">
      <c r="A28" s="59"/>
      <c r="B28" s="75"/>
      <c r="C28" s="76"/>
      <c r="E28" s="77"/>
      <c r="F28" s="67">
        <v>3.2</v>
      </c>
      <c r="G28" s="68" t="s">
        <v>46</v>
      </c>
      <c r="H28" s="69"/>
      <c r="I28" s="70"/>
      <c r="J28" s="71" t="s">
        <v>47</v>
      </c>
      <c r="K28" s="69"/>
      <c r="L28" s="70"/>
      <c r="M28" s="83">
        <v>0.0</v>
      </c>
      <c r="N28" s="75"/>
      <c r="O28" s="103"/>
      <c r="P28" s="3"/>
    </row>
    <row r="29" ht="33.75" customHeight="1">
      <c r="A29" s="59"/>
      <c r="B29" s="75"/>
      <c r="C29" s="76"/>
      <c r="E29" s="77"/>
      <c r="F29" s="95">
        <v>3.3</v>
      </c>
      <c r="G29" s="68" t="s">
        <v>48</v>
      </c>
      <c r="H29" s="69"/>
      <c r="I29" s="70"/>
      <c r="J29" s="102" t="s">
        <v>49</v>
      </c>
      <c r="K29" s="69"/>
      <c r="L29" s="70"/>
      <c r="M29" s="83">
        <v>0.0</v>
      </c>
      <c r="N29" s="75"/>
      <c r="O29" s="103"/>
      <c r="P29" s="3"/>
    </row>
    <row r="30" ht="37.5" customHeight="1">
      <c r="A30" s="59"/>
      <c r="B30" s="41"/>
      <c r="C30" s="39"/>
      <c r="D30" s="104"/>
      <c r="E30" s="40"/>
      <c r="F30" s="67">
        <v>3.4</v>
      </c>
      <c r="G30" s="68" t="s">
        <v>50</v>
      </c>
      <c r="H30" s="69"/>
      <c r="I30" s="70"/>
      <c r="J30" s="71" t="s">
        <v>51</v>
      </c>
      <c r="K30" s="69"/>
      <c r="L30" s="70"/>
      <c r="M30" s="83">
        <v>0.0</v>
      </c>
      <c r="N30" s="41"/>
      <c r="O30" s="103"/>
      <c r="P30" s="3"/>
    </row>
    <row r="31" ht="21.75" customHeight="1">
      <c r="A31" s="59"/>
      <c r="B31" s="108">
        <v>4.0</v>
      </c>
      <c r="C31" s="109" t="s">
        <v>52</v>
      </c>
      <c r="D31" s="62"/>
      <c r="E31" s="30"/>
      <c r="F31" s="67">
        <v>4.1</v>
      </c>
      <c r="G31" s="68" t="s">
        <v>53</v>
      </c>
      <c r="H31" s="69"/>
      <c r="I31" s="70"/>
      <c r="J31" s="82" t="s">
        <v>54</v>
      </c>
      <c r="K31" s="80"/>
      <c r="L31" s="81"/>
      <c r="M31" s="83">
        <v>0.0</v>
      </c>
      <c r="N31" s="110">
        <f>AVERAGEA(M31:M35)</f>
        <v>0</v>
      </c>
      <c r="O31" s="111"/>
      <c r="P31" s="3"/>
    </row>
    <row r="32" ht="21.75" customHeight="1">
      <c r="A32" s="59"/>
      <c r="B32" s="112"/>
      <c r="E32" s="77"/>
      <c r="F32" s="67">
        <v>4.2</v>
      </c>
      <c r="G32" s="68" t="s">
        <v>55</v>
      </c>
      <c r="H32" s="69"/>
      <c r="I32" s="70"/>
      <c r="J32" s="113"/>
      <c r="L32" s="85"/>
      <c r="M32" s="114">
        <v>0.0</v>
      </c>
      <c r="N32" s="75"/>
      <c r="O32" s="111"/>
      <c r="P32" s="3"/>
    </row>
    <row r="33" ht="21.75" customHeight="1">
      <c r="A33" s="59"/>
      <c r="B33" s="112"/>
      <c r="E33" s="77"/>
      <c r="F33" s="67">
        <v>4.3</v>
      </c>
      <c r="G33" s="68" t="s">
        <v>56</v>
      </c>
      <c r="H33" s="69"/>
      <c r="I33" s="70"/>
      <c r="J33" s="113"/>
      <c r="L33" s="85"/>
      <c r="M33" s="83">
        <v>0.0</v>
      </c>
      <c r="N33" s="75"/>
      <c r="O33" s="111"/>
      <c r="P33" s="3"/>
    </row>
    <row r="34" ht="21.75" customHeight="1">
      <c r="A34" s="59"/>
      <c r="B34" s="112"/>
      <c r="E34" s="77"/>
      <c r="F34" s="67">
        <v>4.4</v>
      </c>
      <c r="G34" s="68" t="s">
        <v>57</v>
      </c>
      <c r="H34" s="69"/>
      <c r="I34" s="70"/>
      <c r="J34" s="113"/>
      <c r="L34" s="85"/>
      <c r="M34" s="114">
        <v>0.0</v>
      </c>
      <c r="N34" s="75"/>
      <c r="O34" s="111"/>
      <c r="P34" s="3"/>
    </row>
    <row r="35" ht="21.75" customHeight="1">
      <c r="A35" s="59"/>
      <c r="B35" s="115"/>
      <c r="C35" s="104"/>
      <c r="D35" s="104"/>
      <c r="E35" s="40"/>
      <c r="F35" s="67">
        <v>4.5</v>
      </c>
      <c r="G35" s="68" t="s">
        <v>58</v>
      </c>
      <c r="H35" s="69"/>
      <c r="I35" s="70"/>
      <c r="J35" s="116"/>
      <c r="K35" s="97"/>
      <c r="L35" s="98"/>
      <c r="M35" s="114">
        <v>0.0</v>
      </c>
      <c r="N35" s="41"/>
      <c r="O35" s="101"/>
      <c r="P35" s="3"/>
    </row>
    <row r="36" ht="26.25" customHeight="1">
      <c r="A36" s="117"/>
      <c r="B36" s="118">
        <v>5.0</v>
      </c>
      <c r="C36" s="119" t="s">
        <v>59</v>
      </c>
      <c r="D36" s="62"/>
      <c r="E36" s="30"/>
      <c r="F36" s="120">
        <v>5.1</v>
      </c>
      <c r="G36" s="121" t="s">
        <v>60</v>
      </c>
      <c r="H36" s="122"/>
      <c r="I36" s="123"/>
      <c r="J36" s="102" t="s">
        <v>61</v>
      </c>
      <c r="K36" s="69"/>
      <c r="L36" s="70"/>
      <c r="M36" s="83">
        <v>0.0</v>
      </c>
      <c r="N36" s="124">
        <f>AVERAGEA(M36:M40)</f>
        <v>0</v>
      </c>
      <c r="O36" s="101"/>
      <c r="P36" s="3"/>
    </row>
    <row r="37" ht="26.25" customHeight="1">
      <c r="A37" s="125"/>
      <c r="B37" s="112"/>
      <c r="C37" s="76"/>
      <c r="E37" s="77"/>
      <c r="F37" s="126">
        <v>5.2</v>
      </c>
      <c r="G37" s="127" t="s">
        <v>62</v>
      </c>
      <c r="H37" s="128"/>
      <c r="I37" s="129"/>
      <c r="J37" s="130" t="s">
        <v>63</v>
      </c>
      <c r="K37" s="80"/>
      <c r="L37" s="81"/>
      <c r="M37" s="131">
        <v>0.0</v>
      </c>
      <c r="N37" s="75"/>
      <c r="O37" s="101"/>
      <c r="P37" s="3"/>
    </row>
    <row r="38" ht="26.25" customHeight="1">
      <c r="A38" s="117"/>
      <c r="B38" s="112"/>
      <c r="C38" s="76"/>
      <c r="E38" s="77"/>
      <c r="F38" s="120">
        <v>5.3</v>
      </c>
      <c r="G38" s="127" t="s">
        <v>64</v>
      </c>
      <c r="H38" s="128"/>
      <c r="I38" s="129"/>
      <c r="J38" s="116"/>
      <c r="K38" s="97"/>
      <c r="L38" s="98"/>
      <c r="M38" s="131">
        <v>0.0</v>
      </c>
      <c r="N38" s="75"/>
      <c r="O38" s="101"/>
      <c r="P38" s="3"/>
    </row>
    <row r="39" ht="26.25" customHeight="1">
      <c r="A39" s="117"/>
      <c r="B39" s="112"/>
      <c r="C39" s="76"/>
      <c r="E39" s="77"/>
      <c r="F39" s="126">
        <v>5.4</v>
      </c>
      <c r="G39" s="127" t="s">
        <v>65</v>
      </c>
      <c r="H39" s="128"/>
      <c r="I39" s="129"/>
      <c r="J39" s="102" t="s">
        <v>66</v>
      </c>
      <c r="K39" s="69"/>
      <c r="L39" s="70"/>
      <c r="M39" s="131">
        <v>0.0</v>
      </c>
      <c r="N39" s="75"/>
      <c r="O39" s="101"/>
      <c r="P39" s="3"/>
    </row>
    <row r="40" ht="26.25" customHeight="1">
      <c r="A40" s="117"/>
      <c r="B40" s="132"/>
      <c r="C40" s="133"/>
      <c r="D40" s="134"/>
      <c r="E40" s="135"/>
      <c r="F40" s="136">
        <v>5.5</v>
      </c>
      <c r="G40" s="137" t="s">
        <v>67</v>
      </c>
      <c r="H40" s="138"/>
      <c r="I40" s="139"/>
      <c r="J40" s="140" t="s">
        <v>68</v>
      </c>
      <c r="K40" s="141"/>
      <c r="L40" s="142"/>
      <c r="M40" s="143">
        <v>0.0</v>
      </c>
      <c r="N40" s="144"/>
      <c r="O40" s="145"/>
      <c r="P40" s="3"/>
    </row>
  </sheetData>
  <mergeCells count="78">
    <mergeCell ref="G23:I23"/>
    <mergeCell ref="J23:L23"/>
    <mergeCell ref="G24:I24"/>
    <mergeCell ref="J24:L24"/>
    <mergeCell ref="G25:I25"/>
    <mergeCell ref="J25:L25"/>
    <mergeCell ref="G26:I26"/>
    <mergeCell ref="J26:L26"/>
    <mergeCell ref="G17:I18"/>
    <mergeCell ref="J17:L18"/>
    <mergeCell ref="G19:I19"/>
    <mergeCell ref="J19:L19"/>
    <mergeCell ref="N19:N26"/>
    <mergeCell ref="G20:I20"/>
    <mergeCell ref="J20:L20"/>
    <mergeCell ref="G30:I30"/>
    <mergeCell ref="J30:L30"/>
    <mergeCell ref="G22:I22"/>
    <mergeCell ref="J22:L22"/>
    <mergeCell ref="G27:I27"/>
    <mergeCell ref="J27:L27"/>
    <mergeCell ref="N27:N30"/>
    <mergeCell ref="G28:I28"/>
    <mergeCell ref="J28:L28"/>
    <mergeCell ref="B31:B35"/>
    <mergeCell ref="B36:B40"/>
    <mergeCell ref="C15:E18"/>
    <mergeCell ref="F17:F18"/>
    <mergeCell ref="B19:B26"/>
    <mergeCell ref="C19:E26"/>
    <mergeCell ref="B27:B30"/>
    <mergeCell ref="C27:E30"/>
    <mergeCell ref="C31:E35"/>
    <mergeCell ref="C36:E40"/>
    <mergeCell ref="G34:I34"/>
    <mergeCell ref="G35:I35"/>
    <mergeCell ref="G36:I36"/>
    <mergeCell ref="G37:I37"/>
    <mergeCell ref="G29:I29"/>
    <mergeCell ref="J29:L29"/>
    <mergeCell ref="G31:I31"/>
    <mergeCell ref="J31:L35"/>
    <mergeCell ref="G32:I32"/>
    <mergeCell ref="G33:I33"/>
    <mergeCell ref="J36:L36"/>
    <mergeCell ref="B3:H3"/>
    <mergeCell ref="J3:N3"/>
    <mergeCell ref="F5:H5"/>
    <mergeCell ref="K5:L6"/>
    <mergeCell ref="M5:M6"/>
    <mergeCell ref="F6:H6"/>
    <mergeCell ref="F7:H7"/>
    <mergeCell ref="K7:L8"/>
    <mergeCell ref="M7:M8"/>
    <mergeCell ref="F8:H8"/>
    <mergeCell ref="F9:H9"/>
    <mergeCell ref="K9:L10"/>
    <mergeCell ref="M9:M10"/>
    <mergeCell ref="B13:O13"/>
    <mergeCell ref="G15:I15"/>
    <mergeCell ref="G16:I16"/>
    <mergeCell ref="C14:E14"/>
    <mergeCell ref="G14:I14"/>
    <mergeCell ref="J14:L14"/>
    <mergeCell ref="B15:B18"/>
    <mergeCell ref="J15:L15"/>
    <mergeCell ref="N15:N18"/>
    <mergeCell ref="J16:L16"/>
    <mergeCell ref="G21:I21"/>
    <mergeCell ref="J21:L21"/>
    <mergeCell ref="N31:N35"/>
    <mergeCell ref="N36:N40"/>
    <mergeCell ref="J37:L38"/>
    <mergeCell ref="G38:I38"/>
    <mergeCell ref="G39:I39"/>
    <mergeCell ref="J39:L39"/>
    <mergeCell ref="G40:I40"/>
    <mergeCell ref="J40:L40"/>
  </mergeCells>
  <dataValidations>
    <dataValidation type="list" allowBlank="1" showErrorMessage="1" sqref="F5">
      <formula1>"ISO 27001,TISAX,GDPR,SOC 2"</formula1>
    </dataValidation>
    <dataValidation type="custom" allowBlank="1" showDropDown="1" showErrorMessage="1" sqref="F8:F9">
      <formula1>OR(NOT(ISERROR(DATEVALUE(F8))), AND(ISNUMBER(F8), LEFT(CELL("format", F8))="D"))</formula1>
    </dataValidation>
  </dataValidations>
  <hyperlinks>
    <hyperlink r:id="rId4" ref="J16"/>
    <hyperlink r:id="rId5" ref="J17"/>
    <hyperlink r:id="rId6" location="post-title-0" ref="J19"/>
    <hyperlink r:id="rId7" ref="J20"/>
    <hyperlink r:id="rId8" ref="J21"/>
    <hyperlink r:id="rId9" ref="J22"/>
    <hyperlink r:id="rId10" ref="J23"/>
    <hyperlink r:id="rId11" ref="J24"/>
    <hyperlink r:id="rId12" ref="J25"/>
    <hyperlink r:id="rId13" ref="J26"/>
    <hyperlink r:id="rId14" ref="J27"/>
    <hyperlink r:id="rId15" ref="J28"/>
    <hyperlink r:id="rId16" ref="J29"/>
    <hyperlink r:id="rId17" ref="J30"/>
    <hyperlink r:id="rId18" ref="J31"/>
    <hyperlink r:id="rId19" ref="J36"/>
    <hyperlink r:id="rId20" ref="J37"/>
    <hyperlink r:id="rId21" ref="J39"/>
    <hyperlink r:id="rId22" ref="J40"/>
  </hyperlinks>
  <drawing r:id="rId23"/>
  <legacyDrawing r:id="rId24"/>
</worksheet>
</file>